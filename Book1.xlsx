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brary1\Documents\"/>
    </mc:Choice>
  </mc:AlternateContent>
  <xr:revisionPtr revIDLastSave="0" documentId="8_{4615C82C-BAE4-4650-9506-4942ACF539C1}" xr6:coauthVersionLast="47" xr6:coauthVersionMax="47" xr10:uidLastSave="{00000000-0000-0000-0000-000000000000}"/>
  <bookViews>
    <workbookView xWindow="-120" yWindow="-120" windowWidth="20730" windowHeight="11040" xr2:uid="{6AE6C31F-DC4A-45C0-A78D-4E55A1E37323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B24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70" i="4"/>
  <c r="B61" i="4"/>
  <c r="B62" i="4"/>
  <c r="B63" i="4"/>
  <c r="B64" i="4"/>
  <c r="B60" i="4"/>
  <c r="B46" i="4"/>
  <c r="B47" i="4"/>
  <c r="B48" i="4"/>
  <c r="B49" i="4"/>
  <c r="B50" i="4"/>
  <c r="B51" i="4"/>
  <c r="B52" i="4"/>
  <c r="B53" i="4"/>
  <c r="B54" i="4"/>
  <c r="B45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A22" i="3"/>
  <c r="A17" i="3"/>
  <c r="A12" i="3"/>
  <c r="A32" i="2"/>
  <c r="A27" i="2"/>
  <c r="A22" i="2"/>
  <c r="A17" i="2"/>
  <c r="A37" i="1"/>
  <c r="A32" i="1"/>
  <c r="A27" i="1"/>
  <c r="A22" i="1"/>
  <c r="A17" i="1"/>
</calcChain>
</file>

<file path=xl/sharedStrings.xml><?xml version="1.0" encoding="utf-8"?>
<sst xmlns="http://schemas.openxmlformats.org/spreadsheetml/2006/main" count="340" uniqueCount="181">
  <si>
    <t>Product</t>
  </si>
  <si>
    <t>ID</t>
  </si>
  <si>
    <t>Product Name</t>
  </si>
  <si>
    <t>Category</t>
  </si>
  <si>
    <t>Brand</t>
  </si>
  <si>
    <t>Price</t>
  </si>
  <si>
    <t>Stock</t>
  </si>
  <si>
    <t>-------</t>
  </si>
  <si>
    <t>--------------</t>
  </si>
  <si>
    <t>-------------</t>
  </si>
  <si>
    <t>------------</t>
  </si>
  <si>
    <t>P1001</t>
  </si>
  <si>
    <t>Laptop</t>
  </si>
  <si>
    <t>Electronics</t>
  </si>
  <si>
    <t>Dell</t>
  </si>
  <si>
    <t>P1002</t>
  </si>
  <si>
    <t>Smartphone</t>
  </si>
  <si>
    <t>Samsung</t>
  </si>
  <si>
    <t>P1003</t>
  </si>
  <si>
    <t>Headphones</t>
  </si>
  <si>
    <t>Sony</t>
  </si>
  <si>
    <t>P1004</t>
  </si>
  <si>
    <t>Keyboard</t>
  </si>
  <si>
    <t>Accessories</t>
  </si>
  <si>
    <t>Logitech</t>
  </si>
  <si>
    <t>P1005</t>
  </si>
  <si>
    <t>Mouse</t>
  </si>
  <si>
    <t>HP</t>
  </si>
  <si>
    <t>P1006</t>
  </si>
  <si>
    <t>Printer</t>
  </si>
  <si>
    <t>Canon</t>
  </si>
  <si>
    <t>P1007</t>
  </si>
  <si>
    <t>Office Chair</t>
  </si>
  <si>
    <t>Furniture</t>
  </si>
  <si>
    <t>Green Soul</t>
  </si>
  <si>
    <t>P1008</t>
  </si>
  <si>
    <t>Office Desk</t>
  </si>
  <si>
    <t>IKEA</t>
  </si>
  <si>
    <t>P1009</t>
  </si>
  <si>
    <t>Monitor</t>
  </si>
  <si>
    <t>LG</t>
  </si>
  <si>
    <t>P1010</t>
  </si>
  <si>
    <t>Webcam</t>
  </si>
  <si>
    <t>Customer</t>
  </si>
  <si>
    <t>Customer Name</t>
  </si>
  <si>
    <t>City</t>
  </si>
  <si>
    <t>State</t>
  </si>
  <si>
    <t>Gender</t>
  </si>
  <si>
    <t>--------</t>
  </si>
  <si>
    <t>---------------</t>
  </si>
  <si>
    <t>-----------</t>
  </si>
  <si>
    <t>----------------</t>
  </si>
  <si>
    <t>C001</t>
  </si>
  <si>
    <t>Amit Patel</t>
  </si>
  <si>
    <t>Ahmedabad</t>
  </si>
  <si>
    <t>Gujarat</t>
  </si>
  <si>
    <t>Male</t>
  </si>
  <si>
    <t>C002</t>
  </si>
  <si>
    <t>Priya Shah</t>
  </si>
  <si>
    <t>Surat</t>
  </si>
  <si>
    <t>Female</t>
  </si>
  <si>
    <t>C003</t>
  </si>
  <si>
    <t>Rahul Mehta</t>
  </si>
  <si>
    <t>Mumbai</t>
  </si>
  <si>
    <t>Maharashtra</t>
  </si>
  <si>
    <t>C004</t>
  </si>
  <si>
    <t>Sneha Joshi</t>
  </si>
  <si>
    <t>Pune</t>
  </si>
  <si>
    <t>C005</t>
  </si>
  <si>
    <t>Arjun Singh</t>
  </si>
  <si>
    <t>Jaipur</t>
  </si>
  <si>
    <t>Rajasthan</t>
  </si>
  <si>
    <t>C006</t>
  </si>
  <si>
    <t>Neha Verma</t>
  </si>
  <si>
    <t>Delhi</t>
  </si>
  <si>
    <t>C007</t>
  </si>
  <si>
    <t>Rohan Gupta</t>
  </si>
  <si>
    <t>Indore</t>
  </si>
  <si>
    <t>Madhya Pradesh</t>
  </si>
  <si>
    <t>C008</t>
  </si>
  <si>
    <t>Pooja Sharma</t>
  </si>
  <si>
    <t>Lucknow</t>
  </si>
  <si>
    <t>Uttar Pradesh</t>
  </si>
  <si>
    <t>C009</t>
  </si>
  <si>
    <t>Karan Desai</t>
  </si>
  <si>
    <t>Vadodara</t>
  </si>
  <si>
    <t>C010</t>
  </si>
  <si>
    <t>Anjali Nair</t>
  </si>
  <si>
    <t>Kochi</t>
  </si>
  <si>
    <t>Kerala</t>
  </si>
  <si>
    <t>Store ID</t>
  </si>
  <si>
    <t>Store Name</t>
  </si>
  <si>
    <t>----------</t>
  </si>
  <si>
    <t>S001</t>
  </si>
  <si>
    <t>Alpha Store</t>
  </si>
  <si>
    <t>S002</t>
  </si>
  <si>
    <t>Beta Store</t>
  </si>
  <si>
    <t>S003</t>
  </si>
  <si>
    <t>Central Store</t>
  </si>
  <si>
    <t>S004</t>
  </si>
  <si>
    <t>Digital Hub</t>
  </si>
  <si>
    <t>S005</t>
  </si>
  <si>
    <t>Smart World</t>
  </si>
  <si>
    <t>Sale ID</t>
  </si>
  <si>
    <t>Product ID</t>
  </si>
  <si>
    <t>Customer ID</t>
  </si>
  <si>
    <t>Quantity</t>
  </si>
  <si>
    <t>Date</t>
  </si>
  <si>
    <t>---------</t>
  </si>
  <si>
    <t>SA001</t>
  </si>
  <si>
    <t>SA002</t>
  </si>
  <si>
    <t>SA003</t>
  </si>
  <si>
    <t>SA004</t>
  </si>
  <si>
    <t>SA005</t>
  </si>
  <si>
    <t>SA006</t>
  </si>
  <si>
    <t>SA007</t>
  </si>
  <si>
    <t>SA008</t>
  </si>
  <si>
    <t>SA009</t>
  </si>
  <si>
    <t>SA010</t>
  </si>
  <si>
    <t>SA011</t>
  </si>
  <si>
    <t>SA012</t>
  </si>
  <si>
    <t>SA013</t>
  </si>
  <si>
    <t>SA014</t>
  </si>
  <si>
    <t>SA015</t>
  </si>
  <si>
    <t>Task 1</t>
  </si>
  <si>
    <r>
      <t>Find the </t>
    </r>
    <r>
      <rPr>
        <sz val="12"/>
        <color theme="1" tint="0.499984740745262"/>
        <rFont val="Segoe UI"/>
        <family val="2"/>
      </rPr>
      <t>Product Name</t>
    </r>
    <r>
      <rPr>
        <sz val="12"/>
        <color theme="1" tint="0.499984740745262"/>
        <rFont val="Segoe UI"/>
        <family val="2"/>
      </rPr>
      <t> for Product ID </t>
    </r>
    <r>
      <rPr>
        <sz val="12"/>
        <color theme="1" tint="0.499984740745262"/>
        <rFont val="Segoe UI"/>
        <family val="2"/>
      </rPr>
      <t>P1006</t>
    </r>
    <r>
      <rPr>
        <sz val="12"/>
        <color theme="1" tint="0.499984740745262"/>
        <rFont val="Segoe UI"/>
        <family val="2"/>
      </rPr>
      <t>.</t>
    </r>
  </si>
  <si>
    <t>name</t>
  </si>
  <si>
    <t>id</t>
  </si>
  <si>
    <t>Task 2</t>
  </si>
  <si>
    <r>
      <t>Find the </t>
    </r>
    <r>
      <rPr>
        <sz val="12"/>
        <color theme="1"/>
        <rFont val="Segoe UI"/>
        <family val="2"/>
      </rPr>
      <t>Price</t>
    </r>
    <r>
      <rPr>
        <sz val="12"/>
        <color theme="1"/>
        <rFont val="Segoe UI"/>
        <family val="2"/>
      </rPr>
      <t> for Product ID </t>
    </r>
    <r>
      <rPr>
        <sz val="12"/>
        <color theme="1"/>
        <rFont val="Segoe UI"/>
        <family val="2"/>
      </rPr>
      <t>P1008</t>
    </r>
    <r>
      <rPr>
        <sz val="12"/>
        <color theme="1"/>
        <rFont val="Segoe UI"/>
        <family val="2"/>
      </rPr>
      <t>.</t>
    </r>
  </si>
  <si>
    <t>price</t>
  </si>
  <si>
    <t>p id</t>
  </si>
  <si>
    <t>p1008</t>
  </si>
  <si>
    <t>Task 3</t>
  </si>
  <si>
    <r>
      <t>Find the </t>
    </r>
    <r>
      <rPr>
        <sz val="12"/>
        <color theme="1"/>
        <rFont val="Segoe UI"/>
        <family val="2"/>
      </rPr>
      <t>Brand</t>
    </r>
    <r>
      <rPr>
        <sz val="12"/>
        <color theme="1"/>
        <rFont val="Segoe UI"/>
        <family val="2"/>
      </rPr>
      <t> for Product ID </t>
    </r>
    <r>
      <rPr>
        <sz val="12"/>
        <color theme="1"/>
        <rFont val="Segoe UI"/>
        <family val="2"/>
      </rPr>
      <t>P1003</t>
    </r>
  </si>
  <si>
    <t>brand</t>
  </si>
  <si>
    <t xml:space="preserve"> p  id</t>
  </si>
  <si>
    <t>Task 4</t>
  </si>
  <si>
    <r>
      <t>Find the </t>
    </r>
    <r>
      <rPr>
        <sz val="12"/>
        <color theme="1"/>
        <rFont val="Segoe UI"/>
        <family val="2"/>
      </rPr>
      <t>Stock</t>
    </r>
    <r>
      <rPr>
        <sz val="12"/>
        <color theme="1"/>
        <rFont val="Segoe UI"/>
        <family val="2"/>
      </rPr>
      <t> for Product ID </t>
    </r>
    <r>
      <rPr>
        <sz val="12"/>
        <color theme="1"/>
        <rFont val="Segoe UI"/>
        <family val="2"/>
      </rPr>
      <t>P1005</t>
    </r>
    <r>
      <rPr>
        <sz val="12"/>
        <color theme="1"/>
        <rFont val="Segoe UI"/>
        <family val="2"/>
      </rPr>
      <t>.</t>
    </r>
  </si>
  <si>
    <t>STOCK</t>
  </si>
  <si>
    <t>P ID</t>
  </si>
  <si>
    <t>Task 5</t>
  </si>
  <si>
    <r>
      <t>Find the </t>
    </r>
    <r>
      <rPr>
        <sz val="12"/>
        <color theme="1"/>
        <rFont val="Segoe UI"/>
        <family val="2"/>
      </rPr>
      <t>Category</t>
    </r>
    <r>
      <rPr>
        <sz val="12"/>
        <color theme="1"/>
        <rFont val="Segoe UI"/>
        <family val="2"/>
      </rPr>
      <t> for Product ID </t>
    </r>
    <r>
      <rPr>
        <sz val="12"/>
        <color theme="1"/>
        <rFont val="Segoe UI"/>
        <family val="2"/>
      </rPr>
      <t>P1004</t>
    </r>
    <r>
      <rPr>
        <sz val="12"/>
        <color theme="1"/>
        <rFont val="Segoe UI"/>
        <family val="2"/>
      </rPr>
      <t>.</t>
    </r>
  </si>
  <si>
    <t>CATEGORY</t>
  </si>
  <si>
    <t>PID</t>
  </si>
  <si>
    <t>Task 6</t>
  </si>
  <si>
    <r>
      <t>Find the Customer Name for </t>
    </r>
    <r>
      <rPr>
        <sz val="12"/>
        <color theme="1"/>
        <rFont val="Segoe UI"/>
        <family val="2"/>
      </rPr>
      <t>C007</t>
    </r>
    <r>
      <rPr>
        <sz val="12"/>
        <color theme="1"/>
        <rFont val="Segoe UI"/>
        <family val="2"/>
      </rPr>
      <t>.</t>
    </r>
  </si>
  <si>
    <t>NAME</t>
  </si>
  <si>
    <t>Task 7</t>
  </si>
  <si>
    <r>
      <t>Find the City for </t>
    </r>
    <r>
      <rPr>
        <sz val="12"/>
        <color theme="1"/>
        <rFont val="Segoe UI"/>
        <family val="2"/>
      </rPr>
      <t>C010</t>
    </r>
    <r>
      <rPr>
        <sz val="12"/>
        <color theme="1"/>
        <rFont val="Segoe UI"/>
        <family val="2"/>
      </rPr>
      <t>.</t>
    </r>
  </si>
  <si>
    <t>CITY</t>
  </si>
  <si>
    <t>Task 8</t>
  </si>
  <si>
    <r>
      <t>Find the State for </t>
    </r>
    <r>
      <rPr>
        <sz val="12"/>
        <color theme="1"/>
        <rFont val="Segoe UI"/>
        <family val="2"/>
      </rPr>
      <t>C003</t>
    </r>
    <r>
      <rPr>
        <sz val="12"/>
        <color theme="1"/>
        <rFont val="Segoe UI"/>
        <family val="2"/>
      </rPr>
      <t>.</t>
    </r>
  </si>
  <si>
    <t>STATE</t>
  </si>
  <si>
    <t>Task 9</t>
  </si>
  <si>
    <r>
      <t>Find the Gender for </t>
    </r>
    <r>
      <rPr>
        <sz val="12"/>
        <color theme="1"/>
        <rFont val="Segoe UI"/>
        <family val="2"/>
      </rPr>
      <t>C006</t>
    </r>
    <r>
      <rPr>
        <sz val="12"/>
        <color theme="1"/>
        <rFont val="Segoe UI"/>
        <family val="2"/>
      </rPr>
      <t>.</t>
    </r>
  </si>
  <si>
    <t>GENDER</t>
  </si>
  <si>
    <t>COO6</t>
  </si>
  <si>
    <t>Task 10</t>
  </si>
  <si>
    <r>
      <t>Find the Store Name for </t>
    </r>
    <r>
      <rPr>
        <sz val="12"/>
        <color theme="1"/>
        <rFont val="Segoe UI"/>
        <family val="2"/>
      </rPr>
      <t>S003</t>
    </r>
    <r>
      <rPr>
        <sz val="12"/>
        <color theme="1"/>
        <rFont val="Segoe UI"/>
        <family val="2"/>
      </rPr>
      <t>.</t>
    </r>
  </si>
  <si>
    <t>STORE NAME</t>
  </si>
  <si>
    <t>Task 11</t>
  </si>
  <si>
    <r>
      <t>Find the Store City for </t>
    </r>
    <r>
      <rPr>
        <sz val="12"/>
        <color theme="1"/>
        <rFont val="Segoe UI"/>
        <family val="2"/>
      </rPr>
      <t>S005</t>
    </r>
    <r>
      <rPr>
        <sz val="12"/>
        <color theme="1"/>
        <rFont val="Segoe UI"/>
        <family val="2"/>
      </rPr>
      <t>.</t>
    </r>
  </si>
  <si>
    <t>STORE CITY</t>
  </si>
  <si>
    <t>s005</t>
  </si>
  <si>
    <t>Task 12</t>
  </si>
  <si>
    <r>
      <t>Find the Store State for </t>
    </r>
    <r>
      <rPr>
        <sz val="12"/>
        <color theme="1"/>
        <rFont val="Segoe UI"/>
        <family val="2"/>
      </rPr>
      <t>S002</t>
    </r>
    <r>
      <rPr>
        <sz val="12"/>
        <color theme="1"/>
        <rFont val="Segoe UI"/>
        <family val="2"/>
      </rPr>
      <t>.</t>
    </r>
  </si>
  <si>
    <t>stat</t>
  </si>
  <si>
    <t>Task 13</t>
  </si>
  <si>
    <t>Retrieve the Product Name for every Product ID in the Sales shee</t>
  </si>
  <si>
    <t>Task 14</t>
  </si>
  <si>
    <t>Retrieve the Customer Name for every Customer ID in the Sales sheet.</t>
  </si>
  <si>
    <t>customer id</t>
  </si>
  <si>
    <t>Task 15</t>
  </si>
  <si>
    <t>Retrieve the Store Name for every Store ID in the Sales sheet</t>
  </si>
  <si>
    <t>store name</t>
  </si>
  <si>
    <t>Task 16</t>
  </si>
  <si>
    <t>Retrieve the Product Price for every Product ID in the Sales sheet.</t>
  </si>
  <si>
    <t>Task 17</t>
  </si>
  <si>
    <r>
      <t>Create a </t>
    </r>
    <r>
      <rPr>
        <sz val="12"/>
        <color theme="1"/>
        <rFont val="Segoe UI"/>
        <family val="2"/>
      </rPr>
      <t>Total Sales</t>
    </r>
    <r>
      <rPr>
        <sz val="12"/>
        <color theme="1"/>
        <rFont val="Segoe UI"/>
        <family val="2"/>
      </rPr>
      <t> column.</t>
    </r>
  </si>
  <si>
    <t>total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</si>
</sst>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3.75"/>
      <color theme="1" tint="0.499984740745262"/>
      <name val="Segoe UI"/>
      <family val="2"/>
    </font>
    <font>
      <sz val="12"/>
      <color theme="1" tint="0.499984740745262"/>
      <name val="Segoe UI"/>
      <family val="2"/>
    </font>
    <font>
      <sz val="12"/>
      <color theme="1" tint="0.499984740745262"/>
      <name val="Segoe UI"/>
      <family val="2"/>
    </font>
    <font>
      <sz val="13.75"/>
      <color theme="1"/>
      <name val="Segoe UI"/>
      <family val="2"/>
    </font>
    <font>
      <sz val="12"/>
      <color theme="1"/>
      <name val="Segoe UI"/>
      <family val="2"/>
    </font>
    <font>
      <sz val="12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ont="1" applyFill="1" applyBorder="1"/>
    <xf numFmtId="0" fontId="0" fillId="3" borderId="2" xfId="0" applyFont="1" applyFill="1" applyBorder="1"/>
    <xf numFmtId="0" fontId="0" fillId="0" borderId="1" xfId="0" applyFont="1" applyBorder="1"/>
    <xf numFmtId="0" fontId="0" fillId="0" borderId="2" xfId="0" applyFont="1" applyBorder="1"/>
    <xf numFmtId="15" fontId="0" fillId="0" borderId="0" xfId="0" applyNumberForma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Font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</cellXfs>
  <cellStyles count="1">
    <cellStyle name="Normal" xfId="0" builtinId="0"/>
  </cellStyles>
  <dxfs count="2">
    <dxf>
      <numFmt numFmtId="0" formatCode="General"/>
    </dxf>
    <dxf>
      <numFmt numFmtId="20" formatCode="dd/m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A5C90B-D647-4AE7-BEAD-2291684A24C9}" name="Table1" displayName="Table1" ref="A1:G12" totalsRowShown="0">
  <autoFilter ref="A1:G12" xr:uid="{65A5C90B-D647-4AE7-BEAD-2291684A24C9}"/>
  <tableColumns count="7">
    <tableColumn id="1" xr3:uid="{337EF8B5-A2BB-44B0-B07B-EA9AB0D51B05}" name="Product"/>
    <tableColumn id="3" xr3:uid="{60D0AFE9-F48E-450D-81C2-D19E04CC85C5}" name="Product Name"/>
    <tableColumn id="4" xr3:uid="{AE0F0F21-2088-4F34-B0C9-1E2DBD0F5A22}" name="Category"/>
    <tableColumn id="5" xr3:uid="{C90FBA7E-5B4C-414D-81C2-14F1DF36C698}" name="Brand"/>
    <tableColumn id="6" xr3:uid="{1FBEACA5-4108-40FC-92A9-41B12AA5F242}" name="Price"/>
    <tableColumn id="7" xr3:uid="{A545320A-85CE-4B97-8702-8ED4E004CEEF}" name="Stock"/>
    <tableColumn id="8" xr3:uid="{C46BDC4D-15B3-4A06-8831-78963DF7A5B7}" name="total sale" dataDxfId="0">
      <calculatedColumnFormula>(Table1[[#This Row],[Price]]*Table1[[#This Row],[Stock]])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CE28CE1-349E-4B2E-83C0-682F14F012B1}" name="Table4" displayName="Table4" ref="A1:E12" totalsRowShown="0">
  <autoFilter ref="A1:E12" xr:uid="{CCE28CE1-349E-4B2E-83C0-682F14F012B1}"/>
  <tableColumns count="5">
    <tableColumn id="1" xr3:uid="{08BAC175-B6C0-40FB-8E08-46253CD9722D}" name="Customer"/>
    <tableColumn id="2" xr3:uid="{4555670C-29CD-427E-A3F5-6ABFF87A5760}" name="Customer Name"/>
    <tableColumn id="3" xr3:uid="{D47F0396-3081-4D11-812C-6E94773BB352}" name="City"/>
    <tableColumn id="4" xr3:uid="{BFF0169F-8EE8-420E-883C-EFA4FA5E27AD}" name="State"/>
    <tableColumn id="5" xr3:uid="{7F7AFB5D-3044-4D94-A96F-6068AADF7DAD}" name="Gend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F940AF-3A9A-409F-AE36-0B4C3451A1D5}" name="Table2" displayName="Table2" ref="A1:D7" totalsRowShown="0">
  <autoFilter ref="A1:D7" xr:uid="{2EF940AF-3A9A-409F-AE36-0B4C3451A1D5}"/>
  <tableColumns count="4">
    <tableColumn id="1" xr3:uid="{F70DBD08-4FAD-4A3E-B262-623C878657DE}" name="Store ID"/>
    <tableColumn id="2" xr3:uid="{1298BF47-34BE-44F5-92D3-F43E3BE52E49}" name="Store Name"/>
    <tableColumn id="3" xr3:uid="{F4F2124F-365D-4286-82F3-B0D60CE4D75B}" name="City"/>
    <tableColumn id="4" xr3:uid="{73B7981F-3926-48B0-B1ED-1B978ED967D1}" name="Sta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A12E098-8443-497A-A3CB-71A25ADAB0E4}" name="Table3" displayName="Table3" ref="A1:F17" totalsRowShown="0">
  <autoFilter ref="A1:F17" xr:uid="{EA12E098-8443-497A-A3CB-71A25ADAB0E4}"/>
  <tableColumns count="6">
    <tableColumn id="1" xr3:uid="{CE3CED03-FA63-485B-90FF-DB297D40F625}" name="Sale ID"/>
    <tableColumn id="2" xr3:uid="{307F887C-8720-410B-9E5A-829832044FD8}" name="Product ID"/>
    <tableColumn id="3" xr3:uid="{61799BA7-F4EE-4531-864A-5A0E75C5ED1B}" name="Customer ID"/>
    <tableColumn id="4" xr3:uid="{1CA816CF-7177-4195-8BF2-B8214D85E530}" name="Quantity"/>
    <tableColumn id="5" xr3:uid="{AB53E1A6-C157-4048-99E7-6562A1C38779}" name="Date" dataDxfId="1"/>
    <tableColumn id="6" xr3:uid="{74882536-AD23-431A-86EF-70226DDE7DEF}" name="Store 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9A6CA-3D63-49AA-A2C1-EFE2A3B6CB0F}">
  <dimension ref="A1:G37"/>
  <sheetViews>
    <sheetView tabSelected="1" workbookViewId="0">
      <selection sqref="A1:G12"/>
    </sheetView>
  </sheetViews>
  <sheetFormatPr defaultRowHeight="15" x14ac:dyDescent="0.25"/>
  <cols>
    <col min="1" max="1" width="10" customWidth="1"/>
    <col min="2" max="2" width="15.7109375" customWidth="1"/>
    <col min="3" max="3" width="11" customWidth="1"/>
  </cols>
  <sheetData>
    <row r="1" spans="1:7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180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7</v>
      </c>
      <c r="F2" t="s">
        <v>7</v>
      </c>
    </row>
    <row r="3" spans="1:7" x14ac:dyDescent="0.25">
      <c r="A3" t="s">
        <v>11</v>
      </c>
      <c r="B3" t="s">
        <v>12</v>
      </c>
      <c r="C3" t="s">
        <v>13</v>
      </c>
      <c r="D3" t="s">
        <v>14</v>
      </c>
      <c r="E3">
        <v>55000</v>
      </c>
      <c r="F3">
        <v>25</v>
      </c>
      <c r="G3">
        <f>(Table1[[#This Row],[Price]]*Table1[[#This Row],[Stock]])</f>
        <v>1375000</v>
      </c>
    </row>
    <row r="4" spans="1:7" x14ac:dyDescent="0.25">
      <c r="A4" t="s">
        <v>15</v>
      </c>
      <c r="B4" t="s">
        <v>16</v>
      </c>
      <c r="C4" t="s">
        <v>13</v>
      </c>
      <c r="D4" t="s">
        <v>17</v>
      </c>
      <c r="E4">
        <v>32000</v>
      </c>
      <c r="F4">
        <v>40</v>
      </c>
      <c r="G4">
        <f>(Table1[[#This Row],[Price]]*Table1[[#This Row],[Stock]])</f>
        <v>1280000</v>
      </c>
    </row>
    <row r="5" spans="1:7" x14ac:dyDescent="0.25">
      <c r="A5" t="s">
        <v>18</v>
      </c>
      <c r="B5" t="s">
        <v>19</v>
      </c>
      <c r="C5" t="s">
        <v>13</v>
      </c>
      <c r="D5" t="s">
        <v>20</v>
      </c>
      <c r="E5">
        <v>4500</v>
      </c>
      <c r="F5">
        <v>80</v>
      </c>
      <c r="G5">
        <f>(Table1[[#This Row],[Price]]*Table1[[#This Row],[Stock]])</f>
        <v>360000</v>
      </c>
    </row>
    <row r="6" spans="1:7" x14ac:dyDescent="0.25">
      <c r="A6" t="s">
        <v>21</v>
      </c>
      <c r="B6" t="s">
        <v>22</v>
      </c>
      <c r="C6" t="s">
        <v>23</v>
      </c>
      <c r="D6" t="s">
        <v>24</v>
      </c>
      <c r="E6">
        <v>1800</v>
      </c>
      <c r="F6">
        <v>65</v>
      </c>
      <c r="G6">
        <f>(Table1[[#This Row],[Price]]*Table1[[#This Row],[Stock]])</f>
        <v>117000</v>
      </c>
    </row>
    <row r="7" spans="1:7" x14ac:dyDescent="0.25">
      <c r="A7" t="s">
        <v>25</v>
      </c>
      <c r="B7" t="s">
        <v>26</v>
      </c>
      <c r="C7" t="s">
        <v>23</v>
      </c>
      <c r="D7" t="s">
        <v>27</v>
      </c>
      <c r="E7">
        <v>900</v>
      </c>
      <c r="F7">
        <v>120</v>
      </c>
      <c r="G7">
        <f>(Table1[[#This Row],[Price]]*Table1[[#This Row],[Stock]])</f>
        <v>108000</v>
      </c>
    </row>
    <row r="8" spans="1:7" x14ac:dyDescent="0.25">
      <c r="A8" t="s">
        <v>28</v>
      </c>
      <c r="B8" t="s">
        <v>29</v>
      </c>
      <c r="C8" t="s">
        <v>13</v>
      </c>
      <c r="D8" t="s">
        <v>30</v>
      </c>
      <c r="E8">
        <v>12500</v>
      </c>
      <c r="F8">
        <v>18</v>
      </c>
      <c r="G8">
        <f>(Table1[[#This Row],[Price]]*Table1[[#This Row],[Stock]])</f>
        <v>225000</v>
      </c>
    </row>
    <row r="9" spans="1:7" x14ac:dyDescent="0.25">
      <c r="A9" t="s">
        <v>31</v>
      </c>
      <c r="B9" t="s">
        <v>32</v>
      </c>
      <c r="C9" t="s">
        <v>33</v>
      </c>
      <c r="D9" t="s">
        <v>34</v>
      </c>
      <c r="E9">
        <v>8500</v>
      </c>
      <c r="F9">
        <v>20</v>
      </c>
      <c r="G9">
        <f>(Table1[[#This Row],[Price]]*Table1[[#This Row],[Stock]])</f>
        <v>170000</v>
      </c>
    </row>
    <row r="10" spans="1:7" x14ac:dyDescent="0.25">
      <c r="A10" t="s">
        <v>35</v>
      </c>
      <c r="B10" t="s">
        <v>36</v>
      </c>
      <c r="C10" t="s">
        <v>33</v>
      </c>
      <c r="D10" t="s">
        <v>37</v>
      </c>
      <c r="E10">
        <v>12000</v>
      </c>
      <c r="F10">
        <v>15</v>
      </c>
      <c r="G10">
        <f>(Table1[[#This Row],[Price]]*Table1[[#This Row],[Stock]])</f>
        <v>180000</v>
      </c>
    </row>
    <row r="11" spans="1:7" x14ac:dyDescent="0.25">
      <c r="A11" t="s">
        <v>38</v>
      </c>
      <c r="B11" t="s">
        <v>39</v>
      </c>
      <c r="C11" t="s">
        <v>13</v>
      </c>
      <c r="D11" t="s">
        <v>40</v>
      </c>
      <c r="E11">
        <v>16000</v>
      </c>
      <c r="F11">
        <v>30</v>
      </c>
      <c r="G11">
        <f>(Table1[[#This Row],[Price]]*Table1[[#This Row],[Stock]])</f>
        <v>480000</v>
      </c>
    </row>
    <row r="12" spans="1:7" x14ac:dyDescent="0.25">
      <c r="A12" t="s">
        <v>41</v>
      </c>
      <c r="B12" t="s">
        <v>42</v>
      </c>
      <c r="C12" t="s">
        <v>23</v>
      </c>
      <c r="D12" t="s">
        <v>24</v>
      </c>
      <c r="E12">
        <v>3500</v>
      </c>
      <c r="F12">
        <v>50</v>
      </c>
      <c r="G12">
        <f>(Table1[[#This Row],[Price]]*Table1[[#This Row],[Stock]])</f>
        <v>175000</v>
      </c>
    </row>
    <row r="14" spans="1:7" ht="21" x14ac:dyDescent="0.25">
      <c r="A14" s="8" t="s">
        <v>124</v>
      </c>
    </row>
    <row r="15" spans="1:7" ht="17.25" x14ac:dyDescent="0.25">
      <c r="A15" s="9" t="s">
        <v>125</v>
      </c>
    </row>
    <row r="16" spans="1:7" x14ac:dyDescent="0.25">
      <c r="A16" t="s">
        <v>126</v>
      </c>
      <c r="B16" t="s">
        <v>127</v>
      </c>
    </row>
    <row r="17" spans="1:3" x14ac:dyDescent="0.25">
      <c r="A17" t="str">
        <f>INDEX(Table1[[#All],[Product Name]],MATCH(A8,Table1[[#All],[Product]]))</f>
        <v>Printer</v>
      </c>
      <c r="B17" s="10" t="s">
        <v>28</v>
      </c>
    </row>
    <row r="19" spans="1:3" ht="21" x14ac:dyDescent="0.25">
      <c r="A19" s="11" t="s">
        <v>128</v>
      </c>
      <c r="B19" s="10"/>
      <c r="C19" s="10"/>
    </row>
    <row r="20" spans="1:3" ht="17.25" x14ac:dyDescent="0.25">
      <c r="A20" s="12" t="s">
        <v>129</v>
      </c>
      <c r="B20" s="10"/>
      <c r="C20" s="10"/>
    </row>
    <row r="21" spans="1:3" x14ac:dyDescent="0.25">
      <c r="A21" t="s">
        <v>130</v>
      </c>
      <c r="B21" t="s">
        <v>131</v>
      </c>
    </row>
    <row r="22" spans="1:3" x14ac:dyDescent="0.25">
      <c r="A22">
        <f>INDEX(Table1[[#All],[Price]],MATCH(A10,Table1[[#All],[Product]]))</f>
        <v>12000</v>
      </c>
      <c r="B22" t="s">
        <v>132</v>
      </c>
    </row>
    <row r="24" spans="1:3" ht="21" x14ac:dyDescent="0.25">
      <c r="A24" s="11" t="s">
        <v>133</v>
      </c>
    </row>
    <row r="25" spans="1:3" ht="17.25" x14ac:dyDescent="0.25">
      <c r="A25" s="12" t="s">
        <v>134</v>
      </c>
    </row>
    <row r="26" spans="1:3" x14ac:dyDescent="0.25">
      <c r="A26" t="s">
        <v>135</v>
      </c>
      <c r="B26" t="s">
        <v>136</v>
      </c>
    </row>
    <row r="27" spans="1:3" x14ac:dyDescent="0.25">
      <c r="A27" t="str">
        <f>INDEX(Table1[[#All],[Brand]],MATCH(A5,Table1[[#All],[Product]]))</f>
        <v>Sony</v>
      </c>
      <c r="B27" t="s">
        <v>18</v>
      </c>
    </row>
    <row r="29" spans="1:3" ht="21" x14ac:dyDescent="0.25">
      <c r="A29" s="11" t="s">
        <v>137</v>
      </c>
    </row>
    <row r="30" spans="1:3" ht="17.25" x14ac:dyDescent="0.25">
      <c r="A30" s="12" t="s">
        <v>138</v>
      </c>
    </row>
    <row r="31" spans="1:3" x14ac:dyDescent="0.25">
      <c r="A31" t="s">
        <v>139</v>
      </c>
      <c r="B31" t="s">
        <v>140</v>
      </c>
    </row>
    <row r="32" spans="1:3" x14ac:dyDescent="0.25">
      <c r="A32">
        <f>INDEX(Table1[[#All],[Stock]],MATCH(A5,Table1[[#All],[Product]]))</f>
        <v>80</v>
      </c>
      <c r="B32" t="s">
        <v>25</v>
      </c>
    </row>
    <row r="34" spans="1:2" ht="21" x14ac:dyDescent="0.25">
      <c r="A34" s="11" t="s">
        <v>141</v>
      </c>
    </row>
    <row r="35" spans="1:2" ht="17.25" x14ac:dyDescent="0.25">
      <c r="A35" s="12" t="s">
        <v>142</v>
      </c>
    </row>
    <row r="36" spans="1:2" x14ac:dyDescent="0.25">
      <c r="A36" t="s">
        <v>143</v>
      </c>
      <c r="B36" t="s">
        <v>144</v>
      </c>
    </row>
    <row r="37" spans="1:2" x14ac:dyDescent="0.25">
      <c r="A37" t="str">
        <f>INDEX(Table1[[#All],[Category]],MATCH(A6,Table1[[#All],[Product]]))</f>
        <v>Accessories</v>
      </c>
      <c r="B37" t="s">
        <v>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3102A-CAE5-4E7C-B1AC-387E4AFD9363}">
  <dimension ref="A1:E32"/>
  <sheetViews>
    <sheetView workbookViewId="0">
      <selection sqref="A1:A12"/>
    </sheetView>
  </sheetViews>
  <sheetFormatPr defaultRowHeight="15" x14ac:dyDescent="0.25"/>
  <cols>
    <col min="1" max="1" width="11.7109375" customWidth="1"/>
    <col min="2" max="2" width="17.42578125" customWidth="1"/>
    <col min="5" max="5" width="9.85546875" customWidth="1"/>
  </cols>
  <sheetData>
    <row r="1" spans="1:5" x14ac:dyDescent="0.25">
      <c r="A1" t="s">
        <v>43</v>
      </c>
      <c r="B1" t="s">
        <v>44</v>
      </c>
      <c r="C1" t="s">
        <v>45</v>
      </c>
      <c r="D1" t="s">
        <v>46</v>
      </c>
      <c r="E1" t="s">
        <v>47</v>
      </c>
    </row>
    <row r="2" spans="1:5" x14ac:dyDescent="0.25">
      <c r="A2" t="s">
        <v>48</v>
      </c>
      <c r="B2" t="s">
        <v>49</v>
      </c>
      <c r="C2" t="s">
        <v>50</v>
      </c>
      <c r="D2" t="s">
        <v>51</v>
      </c>
      <c r="E2" t="s">
        <v>48</v>
      </c>
    </row>
    <row r="3" spans="1:5" x14ac:dyDescent="0.25">
      <c r="A3" t="s">
        <v>52</v>
      </c>
      <c r="B3" t="s">
        <v>53</v>
      </c>
      <c r="C3" t="s">
        <v>54</v>
      </c>
      <c r="D3" t="s">
        <v>55</v>
      </c>
      <c r="E3" t="s">
        <v>56</v>
      </c>
    </row>
    <row r="4" spans="1:5" x14ac:dyDescent="0.25">
      <c r="A4" t="s">
        <v>57</v>
      </c>
      <c r="B4" t="s">
        <v>58</v>
      </c>
      <c r="C4" t="s">
        <v>59</v>
      </c>
      <c r="D4" t="s">
        <v>55</v>
      </c>
      <c r="E4" t="s">
        <v>60</v>
      </c>
    </row>
    <row r="5" spans="1:5" x14ac:dyDescent="0.25">
      <c r="A5" t="s">
        <v>61</v>
      </c>
      <c r="B5" t="s">
        <v>62</v>
      </c>
      <c r="C5" t="s">
        <v>63</v>
      </c>
      <c r="D5" t="s">
        <v>64</v>
      </c>
      <c r="E5" t="s">
        <v>56</v>
      </c>
    </row>
    <row r="6" spans="1:5" x14ac:dyDescent="0.25">
      <c r="A6" t="s">
        <v>65</v>
      </c>
      <c r="B6" t="s">
        <v>66</v>
      </c>
      <c r="C6" t="s">
        <v>67</v>
      </c>
      <c r="D6" t="s">
        <v>64</v>
      </c>
      <c r="E6" t="s">
        <v>60</v>
      </c>
    </row>
    <row r="7" spans="1:5" x14ac:dyDescent="0.25">
      <c r="A7" t="s">
        <v>68</v>
      </c>
      <c r="B7" t="s">
        <v>69</v>
      </c>
      <c r="C7" t="s">
        <v>70</v>
      </c>
      <c r="D7" t="s">
        <v>71</v>
      </c>
      <c r="E7" t="s">
        <v>56</v>
      </c>
    </row>
    <row r="8" spans="1:5" x14ac:dyDescent="0.25">
      <c r="A8" t="s">
        <v>72</v>
      </c>
      <c r="B8" t="s">
        <v>73</v>
      </c>
      <c r="C8" t="s">
        <v>74</v>
      </c>
      <c r="D8" t="s">
        <v>74</v>
      </c>
      <c r="E8" t="s">
        <v>60</v>
      </c>
    </row>
    <row r="9" spans="1:5" x14ac:dyDescent="0.25">
      <c r="A9" t="s">
        <v>75</v>
      </c>
      <c r="B9" t="s">
        <v>76</v>
      </c>
      <c r="C9" t="s">
        <v>77</v>
      </c>
      <c r="D9" t="s">
        <v>78</v>
      </c>
      <c r="E9" t="s">
        <v>56</v>
      </c>
    </row>
    <row r="10" spans="1:5" x14ac:dyDescent="0.25">
      <c r="A10" t="s">
        <v>79</v>
      </c>
      <c r="B10" t="s">
        <v>80</v>
      </c>
      <c r="C10" t="s">
        <v>81</v>
      </c>
      <c r="D10" t="s">
        <v>82</v>
      </c>
      <c r="E10" t="s">
        <v>60</v>
      </c>
    </row>
    <row r="11" spans="1:5" x14ac:dyDescent="0.25">
      <c r="A11" t="s">
        <v>83</v>
      </c>
      <c r="B11" t="s">
        <v>84</v>
      </c>
      <c r="C11" t="s">
        <v>85</v>
      </c>
      <c r="D11" t="s">
        <v>55</v>
      </c>
      <c r="E11" t="s">
        <v>56</v>
      </c>
    </row>
    <row r="12" spans="1:5" x14ac:dyDescent="0.25">
      <c r="A12" t="s">
        <v>86</v>
      </c>
      <c r="B12" t="s">
        <v>87</v>
      </c>
      <c r="C12" t="s">
        <v>88</v>
      </c>
      <c r="D12" t="s">
        <v>89</v>
      </c>
      <c r="E12" t="s">
        <v>60</v>
      </c>
    </row>
    <row r="14" spans="1:5" ht="21" x14ac:dyDescent="0.25">
      <c r="A14" s="11" t="s">
        <v>145</v>
      </c>
    </row>
    <row r="15" spans="1:5" ht="17.25" x14ac:dyDescent="0.25">
      <c r="A15" s="12" t="s">
        <v>146</v>
      </c>
    </row>
    <row r="16" spans="1:5" x14ac:dyDescent="0.25">
      <c r="A16" t="s">
        <v>147</v>
      </c>
      <c r="B16" t="s">
        <v>1</v>
      </c>
    </row>
    <row r="17" spans="1:2" x14ac:dyDescent="0.25">
      <c r="A17" t="str">
        <f>INDEX(Table4[[#All],[Customer Name]],MATCH(A9,Table4[[#All],[Customer]]))</f>
        <v>Rohan Gupta</v>
      </c>
      <c r="B17" t="s">
        <v>75</v>
      </c>
    </row>
    <row r="19" spans="1:2" ht="21" x14ac:dyDescent="0.25">
      <c r="A19" s="11" t="s">
        <v>148</v>
      </c>
    </row>
    <row r="20" spans="1:2" ht="17.25" x14ac:dyDescent="0.25">
      <c r="A20" s="12" t="s">
        <v>149</v>
      </c>
    </row>
    <row r="21" spans="1:2" x14ac:dyDescent="0.25">
      <c r="A21" t="s">
        <v>150</v>
      </c>
      <c r="B21" t="s">
        <v>144</v>
      </c>
    </row>
    <row r="22" spans="1:2" x14ac:dyDescent="0.25">
      <c r="A22" t="str">
        <f>INDEX(Table4[[#All],[City]],MATCH(A12,Table4[[#All],[Customer]]))</f>
        <v>Kochi</v>
      </c>
      <c r="B22" t="s">
        <v>86</v>
      </c>
    </row>
    <row r="24" spans="1:2" ht="21" x14ac:dyDescent="0.25">
      <c r="A24" s="11" t="s">
        <v>151</v>
      </c>
    </row>
    <row r="25" spans="1:2" ht="17.25" x14ac:dyDescent="0.25">
      <c r="A25" s="12" t="s">
        <v>152</v>
      </c>
    </row>
    <row r="26" spans="1:2" x14ac:dyDescent="0.25">
      <c r="A26" t="s">
        <v>153</v>
      </c>
      <c r="B26" t="s">
        <v>144</v>
      </c>
    </row>
    <row r="27" spans="1:2" x14ac:dyDescent="0.25">
      <c r="A27" t="str">
        <f>INDEX(Table4[[#All],[State]],MATCH(A5,Table4[[#All],[Customer]]))</f>
        <v>Maharashtra</v>
      </c>
      <c r="B27" t="s">
        <v>61</v>
      </c>
    </row>
    <row r="29" spans="1:2" ht="21" x14ac:dyDescent="0.25">
      <c r="A29" s="11" t="s">
        <v>154</v>
      </c>
    </row>
    <row r="30" spans="1:2" ht="17.25" x14ac:dyDescent="0.25">
      <c r="A30" s="12" t="s">
        <v>155</v>
      </c>
    </row>
    <row r="31" spans="1:2" x14ac:dyDescent="0.25">
      <c r="A31" t="s">
        <v>156</v>
      </c>
      <c r="B31" t="s">
        <v>144</v>
      </c>
    </row>
    <row r="32" spans="1:2" x14ac:dyDescent="0.25">
      <c r="A32" t="str">
        <f>INDEX(Table4[[#All],[Gender]],MATCH(A8,Table4[[#All],[Customer]]))</f>
        <v>Female</v>
      </c>
      <c r="B32" t="s">
        <v>157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CDFA3-D71A-4FD3-B0E8-CBA13E5F17AC}">
  <dimension ref="A1:D22"/>
  <sheetViews>
    <sheetView topLeftCell="A3" workbookViewId="0">
      <selection sqref="A1:A7"/>
    </sheetView>
  </sheetViews>
  <sheetFormatPr defaultRowHeight="15" x14ac:dyDescent="0.25"/>
  <cols>
    <col min="1" max="1" width="32.5703125" bestFit="1" customWidth="1"/>
    <col min="2" max="2" width="13.5703125" customWidth="1"/>
    <col min="4" max="4" width="12" bestFit="1" customWidth="1"/>
  </cols>
  <sheetData>
    <row r="1" spans="1:4" x14ac:dyDescent="0.25">
      <c r="A1" t="s">
        <v>90</v>
      </c>
      <c r="B1" t="s">
        <v>91</v>
      </c>
      <c r="C1" t="s">
        <v>45</v>
      </c>
      <c r="D1" t="s">
        <v>46</v>
      </c>
    </row>
    <row r="2" spans="1:4" x14ac:dyDescent="0.25">
      <c r="A2" t="s">
        <v>92</v>
      </c>
      <c r="B2" t="s">
        <v>49</v>
      </c>
      <c r="C2" t="s">
        <v>50</v>
      </c>
      <c r="D2" t="s">
        <v>9</v>
      </c>
    </row>
    <row r="3" spans="1:4" x14ac:dyDescent="0.25">
      <c r="A3" t="s">
        <v>93</v>
      </c>
      <c r="B3" t="s">
        <v>94</v>
      </c>
      <c r="C3" t="s">
        <v>54</v>
      </c>
      <c r="D3" t="s">
        <v>55</v>
      </c>
    </row>
    <row r="4" spans="1:4" x14ac:dyDescent="0.25">
      <c r="A4" t="s">
        <v>95</v>
      </c>
      <c r="B4" t="s">
        <v>96</v>
      </c>
      <c r="C4" t="s">
        <v>59</v>
      </c>
      <c r="D4" t="s">
        <v>55</v>
      </c>
    </row>
    <row r="5" spans="1:4" x14ac:dyDescent="0.25">
      <c r="A5" t="s">
        <v>97</v>
      </c>
      <c r="B5" t="s">
        <v>98</v>
      </c>
      <c r="C5" t="s">
        <v>63</v>
      </c>
      <c r="D5" t="s">
        <v>64</v>
      </c>
    </row>
    <row r="6" spans="1:4" x14ac:dyDescent="0.25">
      <c r="A6" t="s">
        <v>99</v>
      </c>
      <c r="B6" t="s">
        <v>100</v>
      </c>
      <c r="C6" t="s">
        <v>67</v>
      </c>
      <c r="D6" t="s">
        <v>64</v>
      </c>
    </row>
    <row r="7" spans="1:4" x14ac:dyDescent="0.25">
      <c r="A7" t="s">
        <v>101</v>
      </c>
      <c r="B7" t="s">
        <v>102</v>
      </c>
      <c r="C7" t="s">
        <v>70</v>
      </c>
      <c r="D7" t="s">
        <v>71</v>
      </c>
    </row>
    <row r="9" spans="1:4" ht="21" x14ac:dyDescent="0.25">
      <c r="A9" s="11" t="s">
        <v>158</v>
      </c>
    </row>
    <row r="10" spans="1:4" ht="17.25" x14ac:dyDescent="0.25">
      <c r="A10" s="12" t="s">
        <v>159</v>
      </c>
    </row>
    <row r="11" spans="1:4" x14ac:dyDescent="0.25">
      <c r="A11" t="s">
        <v>160</v>
      </c>
      <c r="B11" t="s">
        <v>144</v>
      </c>
    </row>
    <row r="12" spans="1:4" x14ac:dyDescent="0.25">
      <c r="A12" t="str">
        <f>INDEX(Table2[[#All],[Store Name]],MATCH(A5,Table2[[#All],[Store ID]]))</f>
        <v>Central Store</v>
      </c>
      <c r="B12" t="s">
        <v>97</v>
      </c>
    </row>
    <row r="14" spans="1:4" ht="21" x14ac:dyDescent="0.25">
      <c r="A14" s="11" t="s">
        <v>161</v>
      </c>
    </row>
    <row r="15" spans="1:4" ht="17.25" x14ac:dyDescent="0.25">
      <c r="A15" s="12" t="s">
        <v>162</v>
      </c>
    </row>
    <row r="16" spans="1:4" x14ac:dyDescent="0.25">
      <c r="A16" t="s">
        <v>163</v>
      </c>
      <c r="B16" t="s">
        <v>144</v>
      </c>
    </row>
    <row r="17" spans="1:2" x14ac:dyDescent="0.25">
      <c r="A17" t="str">
        <f>INDEX(Table2[[#All],[City]],MATCH(A7,Table2[[#All],[Store ID]]))</f>
        <v>Jaipur</v>
      </c>
      <c r="B17" t="s">
        <v>164</v>
      </c>
    </row>
    <row r="19" spans="1:2" ht="21" x14ac:dyDescent="0.25">
      <c r="A19" s="11" t="s">
        <v>165</v>
      </c>
    </row>
    <row r="20" spans="1:2" ht="17.25" x14ac:dyDescent="0.25">
      <c r="A20" s="12" t="s">
        <v>166</v>
      </c>
    </row>
    <row r="21" spans="1:2" x14ac:dyDescent="0.25">
      <c r="A21" t="s">
        <v>167</v>
      </c>
      <c r="B21" t="s">
        <v>127</v>
      </c>
    </row>
    <row r="22" spans="1:2" x14ac:dyDescent="0.25">
      <c r="A22" t="str">
        <f>INDEX(Table2[[#All],[State]],MATCH(A7,Table2[[#All],[Store ID]]))</f>
        <v>Rajasthan</v>
      </c>
      <c r="B22" t="s">
        <v>164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665C8-6D80-4A2D-9E84-574653E35065}">
  <dimension ref="A1:F87"/>
  <sheetViews>
    <sheetView topLeftCell="A5" workbookViewId="0">
      <selection activeCell="B45" sqref="B45"/>
    </sheetView>
  </sheetViews>
  <sheetFormatPr defaultRowHeight="15" x14ac:dyDescent="0.25"/>
  <cols>
    <col min="1" max="1" width="12.42578125" customWidth="1"/>
    <col min="2" max="2" width="12.28515625" customWidth="1"/>
    <col min="3" max="3" width="14" customWidth="1"/>
    <col min="4" max="4" width="10.85546875" customWidth="1"/>
    <col min="6" max="6" width="10.140625" customWidth="1"/>
  </cols>
  <sheetData>
    <row r="1" spans="1:6" x14ac:dyDescent="0.25">
      <c r="A1" t="s">
        <v>103</v>
      </c>
      <c r="B1" t="s">
        <v>104</v>
      </c>
      <c r="C1" t="s">
        <v>105</v>
      </c>
      <c r="D1" t="s">
        <v>106</v>
      </c>
      <c r="E1" t="s">
        <v>107</v>
      </c>
      <c r="F1" t="s">
        <v>90</v>
      </c>
    </row>
    <row r="2" spans="1:6" x14ac:dyDescent="0.25">
      <c r="A2" t="s">
        <v>108</v>
      </c>
      <c r="B2" t="s">
        <v>10</v>
      </c>
      <c r="C2" t="s">
        <v>9</v>
      </c>
      <c r="D2" t="s">
        <v>92</v>
      </c>
      <c r="E2" t="s">
        <v>9</v>
      </c>
      <c r="F2" t="s">
        <v>92</v>
      </c>
    </row>
    <row r="3" spans="1:6" x14ac:dyDescent="0.25">
      <c r="A3" t="s">
        <v>109</v>
      </c>
      <c r="B3" t="s">
        <v>11</v>
      </c>
      <c r="C3" t="s">
        <v>52</v>
      </c>
      <c r="D3">
        <v>1</v>
      </c>
      <c r="E3" s="7">
        <v>46023</v>
      </c>
      <c r="F3" t="s">
        <v>93</v>
      </c>
    </row>
    <row r="4" spans="1:6" x14ac:dyDescent="0.25">
      <c r="A4" t="s">
        <v>110</v>
      </c>
      <c r="B4" t="s">
        <v>25</v>
      </c>
      <c r="C4" t="s">
        <v>57</v>
      </c>
      <c r="D4">
        <v>3</v>
      </c>
      <c r="E4" s="7">
        <v>46024</v>
      </c>
      <c r="F4" t="s">
        <v>95</v>
      </c>
    </row>
    <row r="5" spans="1:6" x14ac:dyDescent="0.25">
      <c r="A5" t="s">
        <v>111</v>
      </c>
      <c r="B5" t="s">
        <v>18</v>
      </c>
      <c r="C5" t="s">
        <v>61</v>
      </c>
      <c r="D5">
        <v>2</v>
      </c>
      <c r="E5" s="7">
        <v>46025</v>
      </c>
      <c r="F5" t="s">
        <v>97</v>
      </c>
    </row>
    <row r="6" spans="1:6" x14ac:dyDescent="0.25">
      <c r="A6" t="s">
        <v>112</v>
      </c>
      <c r="B6" t="s">
        <v>38</v>
      </c>
      <c r="C6" t="s">
        <v>65</v>
      </c>
      <c r="D6">
        <v>1</v>
      </c>
      <c r="E6" s="7">
        <v>46026</v>
      </c>
      <c r="F6" t="s">
        <v>99</v>
      </c>
    </row>
    <row r="7" spans="1:6" x14ac:dyDescent="0.25">
      <c r="A7" t="s">
        <v>113</v>
      </c>
      <c r="B7" t="s">
        <v>15</v>
      </c>
      <c r="C7" t="s">
        <v>68</v>
      </c>
      <c r="D7">
        <v>2</v>
      </c>
      <c r="E7" s="7">
        <v>46027</v>
      </c>
      <c r="F7" t="s">
        <v>101</v>
      </c>
    </row>
    <row r="8" spans="1:6" x14ac:dyDescent="0.25">
      <c r="A8" t="s">
        <v>114</v>
      </c>
      <c r="B8" t="s">
        <v>31</v>
      </c>
      <c r="C8" t="s">
        <v>72</v>
      </c>
      <c r="D8">
        <v>1</v>
      </c>
      <c r="E8" s="7">
        <v>46028</v>
      </c>
      <c r="F8" t="s">
        <v>93</v>
      </c>
    </row>
    <row r="9" spans="1:6" x14ac:dyDescent="0.25">
      <c r="A9" t="s">
        <v>115</v>
      </c>
      <c r="B9" t="s">
        <v>28</v>
      </c>
      <c r="C9" t="s">
        <v>75</v>
      </c>
      <c r="D9">
        <v>1</v>
      </c>
      <c r="E9" s="7">
        <v>46029</v>
      </c>
      <c r="F9" t="s">
        <v>95</v>
      </c>
    </row>
    <row r="10" spans="1:6" x14ac:dyDescent="0.25">
      <c r="A10" t="s">
        <v>116</v>
      </c>
      <c r="B10" t="s">
        <v>41</v>
      </c>
      <c r="C10" t="s">
        <v>79</v>
      </c>
      <c r="D10">
        <v>2</v>
      </c>
      <c r="E10" s="7">
        <v>46030</v>
      </c>
      <c r="F10" t="s">
        <v>97</v>
      </c>
    </row>
    <row r="11" spans="1:6" x14ac:dyDescent="0.25">
      <c r="A11" t="s">
        <v>117</v>
      </c>
      <c r="B11" t="s">
        <v>21</v>
      </c>
      <c r="C11" t="s">
        <v>83</v>
      </c>
      <c r="D11">
        <v>4</v>
      </c>
      <c r="E11" s="7">
        <v>46031</v>
      </c>
      <c r="F11" t="s">
        <v>99</v>
      </c>
    </row>
    <row r="12" spans="1:6" x14ac:dyDescent="0.25">
      <c r="A12" t="s">
        <v>118</v>
      </c>
      <c r="B12" t="s">
        <v>35</v>
      </c>
      <c r="C12" t="s">
        <v>86</v>
      </c>
      <c r="D12">
        <v>1</v>
      </c>
      <c r="E12" s="7">
        <v>46032</v>
      </c>
      <c r="F12" t="s">
        <v>101</v>
      </c>
    </row>
    <row r="13" spans="1:6" x14ac:dyDescent="0.25">
      <c r="A13" t="s">
        <v>119</v>
      </c>
      <c r="B13" t="s">
        <v>25</v>
      </c>
      <c r="C13" t="s">
        <v>52</v>
      </c>
      <c r="D13">
        <v>5</v>
      </c>
      <c r="E13" s="7">
        <v>46033</v>
      </c>
      <c r="F13" t="s">
        <v>93</v>
      </c>
    </row>
    <row r="14" spans="1:6" x14ac:dyDescent="0.25">
      <c r="A14" t="s">
        <v>120</v>
      </c>
      <c r="B14" t="s">
        <v>18</v>
      </c>
      <c r="C14" t="s">
        <v>57</v>
      </c>
      <c r="D14">
        <v>3</v>
      </c>
      <c r="E14" s="7">
        <v>46034</v>
      </c>
      <c r="F14" t="s">
        <v>95</v>
      </c>
    </row>
    <row r="15" spans="1:6" x14ac:dyDescent="0.25">
      <c r="A15" t="s">
        <v>121</v>
      </c>
      <c r="B15" t="s">
        <v>11</v>
      </c>
      <c r="C15" t="s">
        <v>61</v>
      </c>
      <c r="D15">
        <v>1</v>
      </c>
      <c r="E15" s="7">
        <v>46035</v>
      </c>
      <c r="F15" t="s">
        <v>97</v>
      </c>
    </row>
    <row r="16" spans="1:6" x14ac:dyDescent="0.25">
      <c r="A16" t="s">
        <v>122</v>
      </c>
      <c r="B16" t="s">
        <v>38</v>
      </c>
      <c r="C16" t="s">
        <v>65</v>
      </c>
      <c r="D16">
        <v>2</v>
      </c>
      <c r="E16" s="7">
        <v>46036</v>
      </c>
      <c r="F16" t="s">
        <v>99</v>
      </c>
    </row>
    <row r="17" spans="1:6" x14ac:dyDescent="0.25">
      <c r="A17" t="s">
        <v>123</v>
      </c>
      <c r="B17" t="s">
        <v>15</v>
      </c>
      <c r="C17" t="s">
        <v>68</v>
      </c>
      <c r="D17">
        <v>1</v>
      </c>
      <c r="E17" s="7">
        <v>46037</v>
      </c>
      <c r="F17" t="s">
        <v>101</v>
      </c>
    </row>
    <row r="19" spans="1:6" ht="21" x14ac:dyDescent="0.25">
      <c r="A19" s="11" t="s">
        <v>168</v>
      </c>
    </row>
    <row r="20" spans="1:6" ht="17.25" x14ac:dyDescent="0.25">
      <c r="A20" s="12" t="s">
        <v>169</v>
      </c>
    </row>
    <row r="22" spans="1:6" x14ac:dyDescent="0.25">
      <c r="A22" s="2" t="s">
        <v>104</v>
      </c>
    </row>
    <row r="23" spans="1:6" x14ac:dyDescent="0.25">
      <c r="A23" s="4" t="s">
        <v>10</v>
      </c>
    </row>
    <row r="24" spans="1:6" x14ac:dyDescent="0.25">
      <c r="A24" s="6" t="s">
        <v>11</v>
      </c>
      <c r="B24" t="str">
        <f>INDEX(Table1[[#All],[Product Name]],MATCH(A24,Table1[[#All],[Product]],0))</f>
        <v>Laptop</v>
      </c>
    </row>
    <row r="25" spans="1:6" x14ac:dyDescent="0.25">
      <c r="A25" s="4" t="s">
        <v>25</v>
      </c>
      <c r="B25" t="str">
        <f>INDEX(Table1[[#All],[Product Name]],MATCH(A25,Table1[[#All],[Product]],0))</f>
        <v>Mouse</v>
      </c>
    </row>
    <row r="26" spans="1:6" x14ac:dyDescent="0.25">
      <c r="A26" s="6" t="s">
        <v>18</v>
      </c>
      <c r="B26" t="str">
        <f>INDEX(Table1[[#All],[Product Name]],MATCH(A26,Table1[[#All],[Product]],0))</f>
        <v>Headphones</v>
      </c>
    </row>
    <row r="27" spans="1:6" x14ac:dyDescent="0.25">
      <c r="A27" s="4" t="s">
        <v>38</v>
      </c>
      <c r="B27" t="str">
        <f>INDEX(Table1[[#All],[Product Name]],MATCH(A27,Table1[[#All],[Product]],0))</f>
        <v>Monitor</v>
      </c>
    </row>
    <row r="28" spans="1:6" x14ac:dyDescent="0.25">
      <c r="A28" s="6" t="s">
        <v>15</v>
      </c>
      <c r="B28" t="str">
        <f>INDEX(Table1[[#All],[Product Name]],MATCH(A28,Table1[[#All],[Product]],0))</f>
        <v>Smartphone</v>
      </c>
    </row>
    <row r="29" spans="1:6" x14ac:dyDescent="0.25">
      <c r="A29" s="4" t="s">
        <v>31</v>
      </c>
      <c r="B29" t="str">
        <f>INDEX(Table1[[#All],[Product Name]],MATCH(A29,Table1[[#All],[Product]],0))</f>
        <v>Office Chair</v>
      </c>
    </row>
    <row r="30" spans="1:6" x14ac:dyDescent="0.25">
      <c r="A30" s="6" t="s">
        <v>28</v>
      </c>
      <c r="B30" t="str">
        <f>INDEX(Table1[[#All],[Product Name]],MATCH(A30,Table1[[#All],[Product]],0))</f>
        <v>Printer</v>
      </c>
    </row>
    <row r="31" spans="1:6" x14ac:dyDescent="0.25">
      <c r="A31" s="4" t="s">
        <v>41</v>
      </c>
      <c r="B31" t="str">
        <f>INDEX(Table1[[#All],[Product Name]],MATCH(A31,Table1[[#All],[Product]],0))</f>
        <v>Webcam</v>
      </c>
    </row>
    <row r="32" spans="1:6" x14ac:dyDescent="0.25">
      <c r="A32" s="6" t="s">
        <v>21</v>
      </c>
      <c r="B32" t="str">
        <f>INDEX(Table1[[#All],[Product Name]],MATCH(A32,Table1[[#All],[Product]],0))</f>
        <v>Keyboard</v>
      </c>
    </row>
    <row r="33" spans="1:2" x14ac:dyDescent="0.25">
      <c r="A33" s="4" t="s">
        <v>35</v>
      </c>
      <c r="B33" t="str">
        <f>INDEX(Table1[[#All],[Product Name]],MATCH(A33,Table1[[#All],[Product]],0))</f>
        <v>Office Desk</v>
      </c>
    </row>
    <row r="34" spans="1:2" x14ac:dyDescent="0.25">
      <c r="A34" s="6" t="s">
        <v>25</v>
      </c>
      <c r="B34" t="str">
        <f>INDEX(Table1[[#All],[Product Name]],MATCH(A34,Table1[[#All],[Product]],0))</f>
        <v>Mouse</v>
      </c>
    </row>
    <row r="35" spans="1:2" x14ac:dyDescent="0.25">
      <c r="A35" s="4" t="s">
        <v>18</v>
      </c>
      <c r="B35" t="str">
        <f>INDEX(Table1[[#All],[Product Name]],MATCH(A35,Table1[[#All],[Product]],0))</f>
        <v>Headphones</v>
      </c>
    </row>
    <row r="36" spans="1:2" x14ac:dyDescent="0.25">
      <c r="A36" s="6" t="s">
        <v>11</v>
      </c>
      <c r="B36" t="str">
        <f>INDEX(Table1[[#All],[Product Name]],MATCH(A36,Table1[[#All],[Product]],0))</f>
        <v>Laptop</v>
      </c>
    </row>
    <row r="37" spans="1:2" x14ac:dyDescent="0.25">
      <c r="A37" s="4" t="s">
        <v>38</v>
      </c>
      <c r="B37" t="str">
        <f>INDEX(Table1[[#All],[Product Name]],MATCH(A37,Table1[[#All],[Product]],0))</f>
        <v>Monitor</v>
      </c>
    </row>
    <row r="38" spans="1:2" x14ac:dyDescent="0.25">
      <c r="A38" s="6" t="s">
        <v>15</v>
      </c>
      <c r="B38" t="str">
        <f>INDEX(Table1[[#All],[Product Name]],MATCH(A38,Table1[[#All],[Product]],0))</f>
        <v>Smartphone</v>
      </c>
    </row>
    <row r="40" spans="1:2" ht="21" x14ac:dyDescent="0.25">
      <c r="A40" s="11" t="s">
        <v>170</v>
      </c>
    </row>
    <row r="41" spans="1:2" ht="17.25" x14ac:dyDescent="0.25">
      <c r="A41" s="12" t="s">
        <v>171</v>
      </c>
    </row>
    <row r="42" spans="1:2" x14ac:dyDescent="0.25">
      <c r="A42" t="s">
        <v>172</v>
      </c>
      <c r="B42" t="s">
        <v>126</v>
      </c>
    </row>
    <row r="43" spans="1:2" x14ac:dyDescent="0.25">
      <c r="A43" s="1" t="s">
        <v>43</v>
      </c>
    </row>
    <row r="44" spans="1:2" x14ac:dyDescent="0.25">
      <c r="A44" s="3" t="s">
        <v>48</v>
      </c>
    </row>
    <row r="45" spans="1:2" x14ac:dyDescent="0.25">
      <c r="A45" s="5" t="s">
        <v>52</v>
      </c>
      <c r="B45" t="str">
        <f>INDEX(Table4[[#All],[Customer Name]],MATCH(Sheet4!A45,Table4[[#All],[Customer]]))</f>
        <v>Amit Patel</v>
      </c>
    </row>
    <row r="46" spans="1:2" x14ac:dyDescent="0.25">
      <c r="A46" s="3" t="s">
        <v>57</v>
      </c>
      <c r="B46" t="str">
        <f>INDEX(Table4[[#All],[Customer Name]],MATCH(Sheet4!A46,Table4[[#All],[Customer]]))</f>
        <v>Priya Shah</v>
      </c>
    </row>
    <row r="47" spans="1:2" x14ac:dyDescent="0.25">
      <c r="A47" s="5" t="s">
        <v>61</v>
      </c>
      <c r="B47" t="str">
        <f>INDEX(Table4[[#All],[Customer Name]],MATCH(Sheet4!A47,Table4[[#All],[Customer]]))</f>
        <v>Rahul Mehta</v>
      </c>
    </row>
    <row r="48" spans="1:2" x14ac:dyDescent="0.25">
      <c r="A48" s="3" t="s">
        <v>65</v>
      </c>
      <c r="B48" t="str">
        <f>INDEX(Table4[[#All],[Customer Name]],MATCH(Sheet4!A48,Table4[[#All],[Customer]]))</f>
        <v>Sneha Joshi</v>
      </c>
    </row>
    <row r="49" spans="1:2" x14ac:dyDescent="0.25">
      <c r="A49" s="5" t="s">
        <v>68</v>
      </c>
      <c r="B49" t="str">
        <f>INDEX(Table4[[#All],[Customer Name]],MATCH(Sheet4!A49,Table4[[#All],[Customer]]))</f>
        <v>Arjun Singh</v>
      </c>
    </row>
    <row r="50" spans="1:2" x14ac:dyDescent="0.25">
      <c r="A50" s="3" t="s">
        <v>72</v>
      </c>
      <c r="B50" t="str">
        <f>INDEX(Table4[[#All],[Customer Name]],MATCH(Sheet4!A50,Table4[[#All],[Customer]]))</f>
        <v>Neha Verma</v>
      </c>
    </row>
    <row r="51" spans="1:2" x14ac:dyDescent="0.25">
      <c r="A51" s="5" t="s">
        <v>75</v>
      </c>
      <c r="B51" t="str">
        <f>INDEX(Table4[[#All],[Customer Name]],MATCH(Sheet4!A51,Table4[[#All],[Customer]]))</f>
        <v>Rohan Gupta</v>
      </c>
    </row>
    <row r="52" spans="1:2" x14ac:dyDescent="0.25">
      <c r="A52" s="3" t="s">
        <v>79</v>
      </c>
      <c r="B52" t="str">
        <f>INDEX(Table4[[#All],[Customer Name]],MATCH(Sheet4!A52,Table4[[#All],[Customer]]))</f>
        <v>Pooja Sharma</v>
      </c>
    </row>
    <row r="53" spans="1:2" x14ac:dyDescent="0.25">
      <c r="A53" s="5" t="s">
        <v>83</v>
      </c>
      <c r="B53" t="str">
        <f>INDEX(Table4[[#All],[Customer Name]],MATCH(Sheet4!A53,Table4[[#All],[Customer]]))</f>
        <v>Karan Desai</v>
      </c>
    </row>
    <row r="54" spans="1:2" x14ac:dyDescent="0.25">
      <c r="A54" s="3" t="s">
        <v>86</v>
      </c>
      <c r="B54" t="str">
        <f>INDEX(Table4[[#All],[Customer Name]],MATCH(Sheet4!A54,Table4[[#All],[Customer]]))</f>
        <v>Anjali Nair</v>
      </c>
    </row>
    <row r="56" spans="1:2" ht="21" x14ac:dyDescent="0.25">
      <c r="A56" s="11" t="s">
        <v>173</v>
      </c>
    </row>
    <row r="57" spans="1:2" ht="17.25" x14ac:dyDescent="0.25">
      <c r="A57" s="12" t="s">
        <v>174</v>
      </c>
    </row>
    <row r="58" spans="1:2" x14ac:dyDescent="0.25">
      <c r="A58" s="1" t="s">
        <v>90</v>
      </c>
      <c r="B58" t="s">
        <v>175</v>
      </c>
    </row>
    <row r="59" spans="1:2" x14ac:dyDescent="0.25">
      <c r="A59" s="3" t="s">
        <v>92</v>
      </c>
    </row>
    <row r="60" spans="1:2" x14ac:dyDescent="0.25">
      <c r="A60" s="5" t="s">
        <v>93</v>
      </c>
      <c r="B60" t="str">
        <f>INDEX(Table2[[#All],[Store Name]],MATCH(Sheet4!A60,Table2[[#All],[Store ID]]))</f>
        <v>Alpha Store</v>
      </c>
    </row>
    <row r="61" spans="1:2" x14ac:dyDescent="0.25">
      <c r="A61" s="3" t="s">
        <v>95</v>
      </c>
      <c r="B61" t="str">
        <f>INDEX(Table2[[#All],[Store Name]],MATCH(Sheet4!A61,Table2[[#All],[Store ID]]))</f>
        <v>Beta Store</v>
      </c>
    </row>
    <row r="62" spans="1:2" x14ac:dyDescent="0.25">
      <c r="A62" s="5" t="s">
        <v>97</v>
      </c>
      <c r="B62" t="str">
        <f>INDEX(Table2[[#All],[Store Name]],MATCH(Sheet4!A62,Table2[[#All],[Store ID]]))</f>
        <v>Central Store</v>
      </c>
    </row>
    <row r="63" spans="1:2" x14ac:dyDescent="0.25">
      <c r="A63" s="3" t="s">
        <v>99</v>
      </c>
      <c r="B63" t="str">
        <f>INDEX(Table2[[#All],[Store Name]],MATCH(Sheet4!A63,Table2[[#All],[Store ID]]))</f>
        <v>Digital Hub</v>
      </c>
    </row>
    <row r="64" spans="1:2" x14ac:dyDescent="0.25">
      <c r="A64" s="5" t="s">
        <v>101</v>
      </c>
      <c r="B64" t="str">
        <f>INDEX(Table2[[#All],[Store Name]],MATCH(Sheet4!A64,Table2[[#All],[Store ID]]))</f>
        <v>Smart World</v>
      </c>
    </row>
    <row r="66" spans="1:2" ht="21" x14ac:dyDescent="0.25">
      <c r="A66" s="11" t="s">
        <v>176</v>
      </c>
    </row>
    <row r="67" spans="1:2" ht="17.25" x14ac:dyDescent="0.25">
      <c r="A67" s="12" t="s">
        <v>177</v>
      </c>
    </row>
    <row r="68" spans="1:2" x14ac:dyDescent="0.25">
      <c r="A68" s="2" t="s">
        <v>104</v>
      </c>
      <c r="B68" t="s">
        <v>130</v>
      </c>
    </row>
    <row r="69" spans="1:2" x14ac:dyDescent="0.25">
      <c r="A69" s="4" t="s">
        <v>10</v>
      </c>
    </row>
    <row r="70" spans="1:2" x14ac:dyDescent="0.25">
      <c r="A70" s="6" t="s">
        <v>11</v>
      </c>
      <c r="B70">
        <f>INDEX(Table1[[#All],[Price]],MATCH(Sheet4!A70,Table1[[#All],[Product]]))</f>
        <v>55000</v>
      </c>
    </row>
    <row r="71" spans="1:2" x14ac:dyDescent="0.25">
      <c r="A71" s="4" t="s">
        <v>25</v>
      </c>
      <c r="B71">
        <f>INDEX(Table1[[#All],[Price]],MATCH(Sheet4!A71,Table1[[#All],[Product]]))</f>
        <v>900</v>
      </c>
    </row>
    <row r="72" spans="1:2" x14ac:dyDescent="0.25">
      <c r="A72" s="6" t="s">
        <v>18</v>
      </c>
      <c r="B72">
        <f>INDEX(Table1[[#All],[Price]],MATCH(Sheet4!A72,Table1[[#All],[Product]]))</f>
        <v>4500</v>
      </c>
    </row>
    <row r="73" spans="1:2" x14ac:dyDescent="0.25">
      <c r="A73" s="4" t="s">
        <v>38</v>
      </c>
      <c r="B73">
        <f>INDEX(Table1[[#All],[Price]],MATCH(Sheet4!A73,Table1[[#All],[Product]]))</f>
        <v>16000</v>
      </c>
    </row>
    <row r="74" spans="1:2" x14ac:dyDescent="0.25">
      <c r="A74" s="6" t="s">
        <v>15</v>
      </c>
      <c r="B74">
        <f>INDEX(Table1[[#All],[Price]],MATCH(Sheet4!A74,Table1[[#All],[Product]]))</f>
        <v>32000</v>
      </c>
    </row>
    <row r="75" spans="1:2" x14ac:dyDescent="0.25">
      <c r="A75" s="4" t="s">
        <v>31</v>
      </c>
      <c r="B75">
        <f>INDEX(Table1[[#All],[Price]],MATCH(Sheet4!A75,Table1[[#All],[Product]]))</f>
        <v>8500</v>
      </c>
    </row>
    <row r="76" spans="1:2" x14ac:dyDescent="0.25">
      <c r="A76" s="6" t="s">
        <v>28</v>
      </c>
      <c r="B76">
        <f>INDEX(Table1[[#All],[Price]],MATCH(Sheet4!A76,Table1[[#All],[Product]]))</f>
        <v>12500</v>
      </c>
    </row>
    <row r="77" spans="1:2" x14ac:dyDescent="0.25">
      <c r="A77" s="4" t="s">
        <v>41</v>
      </c>
      <c r="B77">
        <f>INDEX(Table1[[#All],[Price]],MATCH(Sheet4!A77,Table1[[#All],[Product]]))</f>
        <v>3500</v>
      </c>
    </row>
    <row r="78" spans="1:2" x14ac:dyDescent="0.25">
      <c r="A78" s="6" t="s">
        <v>21</v>
      </c>
      <c r="B78">
        <f>INDEX(Table1[[#All],[Price]],MATCH(Sheet4!A78,Table1[[#All],[Product]]))</f>
        <v>1800</v>
      </c>
    </row>
    <row r="79" spans="1:2" x14ac:dyDescent="0.25">
      <c r="A79" s="4" t="s">
        <v>35</v>
      </c>
      <c r="B79">
        <f>INDEX(Table1[[#All],[Price]],MATCH(Sheet4!A79,Table1[[#All],[Product]]))</f>
        <v>12000</v>
      </c>
    </row>
    <row r="80" spans="1:2" x14ac:dyDescent="0.25">
      <c r="A80" s="6" t="s">
        <v>25</v>
      </c>
      <c r="B80">
        <f>INDEX(Table1[[#All],[Price]],MATCH(Sheet4!A80,Table1[[#All],[Product]]))</f>
        <v>900</v>
      </c>
    </row>
    <row r="81" spans="1:2" x14ac:dyDescent="0.25">
      <c r="A81" s="4" t="s">
        <v>18</v>
      </c>
      <c r="B81">
        <f>INDEX(Table1[[#All],[Price]],MATCH(Sheet4!A81,Table1[[#All],[Product]]))</f>
        <v>4500</v>
      </c>
    </row>
    <row r="82" spans="1:2" x14ac:dyDescent="0.25">
      <c r="A82" s="6" t="s">
        <v>11</v>
      </c>
      <c r="B82">
        <f>INDEX(Table1[[#All],[Price]],MATCH(Sheet4!A82,Table1[[#All],[Product]]))</f>
        <v>55000</v>
      </c>
    </row>
    <row r="83" spans="1:2" x14ac:dyDescent="0.25">
      <c r="A83" s="4" t="s">
        <v>38</v>
      </c>
      <c r="B83">
        <f>INDEX(Table1[[#All],[Price]],MATCH(Sheet4!A83,Table1[[#All],[Product]]))</f>
        <v>16000</v>
      </c>
    </row>
    <row r="84" spans="1:2" x14ac:dyDescent="0.25">
      <c r="A84" s="6" t="s">
        <v>15</v>
      </c>
      <c r="B84">
        <f>INDEX(Table1[[#All],[Price]],MATCH(Sheet4!A84,Table1[[#All],[Product]]))</f>
        <v>32000</v>
      </c>
    </row>
    <row r="86" spans="1:2" ht="21" x14ac:dyDescent="0.25">
      <c r="A86" s="11" t="s">
        <v>178</v>
      </c>
    </row>
    <row r="87" spans="1:2" ht="17.25" x14ac:dyDescent="0.25">
      <c r="A87" s="12" t="s">
        <v>179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C9F90-E5E7-4096-B04A-16C8E5F024E2}">
  <dimension ref="A1"/>
  <sheetViews>
    <sheetView workbookViewId="0">
      <selection activeCell="C2" sqref="A1:C2"/>
    </sheetView>
  </sheetViews>
  <sheetFormatPr defaultRowHeight="15" x14ac:dyDescent="0.25"/>
  <cols>
    <col min="1" max="1" width="36.7109375" customWidth="1"/>
  </cols>
  <sheetData/>
  <pageMargins left="0.7" right="0.7" top="0.75" bottom="0.75" header="0.3" footer="0.3"/>
  <pageSetup paperSize="145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Library1</dc:creator>
  <cp:lastModifiedBy>Library1</cp:lastModifiedBy>
  <dcterms:created xsi:type="dcterms:W3CDTF">2026-07-28T09:12:24Z</dcterms:created>
  <dcterms:modified xsi:type="dcterms:W3CDTF">2026-07-28T11:02:06Z</dcterms:modified>
</cp:coreProperties>
</file>